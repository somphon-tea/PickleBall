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mphon.tea\Documents\DV\DVK\Pickle Ball\"/>
    </mc:Choice>
  </mc:AlternateContent>
  <xr:revisionPtr revIDLastSave="0" documentId="13_ncr:1_{F01A7ECE-19F9-42D2-B3AF-298D513E6F0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ssumptions" sheetId="1" r:id="rId1"/>
    <sheet name="Calc - As Filed" sheetId="2" r:id="rId2"/>
    <sheet name="Calc - Reconciled" sheetId="3" r:id="rId3"/>
    <sheet name="Scenario Comparison" sheetId="4" r:id="rId4"/>
    <sheet name="Sensitivity" sheetId="5" r:id="rId5"/>
    <sheet name="5Y DCF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8" i="3"/>
  <c r="C7" i="3"/>
  <c r="C10" i="3" s="1"/>
  <c r="C8" i="2"/>
  <c r="C7" i="2"/>
  <c r="C29" i="1"/>
  <c r="C9" i="2" s="1"/>
  <c r="C23" i="1"/>
  <c r="C31" i="1" s="1"/>
  <c r="C17" i="1"/>
  <c r="C6" i="1"/>
  <c r="C3" i="6"/>
  <c r="C13" i="3"/>
  <c r="C4" i="5" s="1"/>
  <c r="C4" i="3"/>
  <c r="C13" i="2"/>
  <c r="C17" i="2" s="1"/>
  <c r="C4" i="2"/>
  <c r="C10" i="2" l="1"/>
  <c r="C4" i="4" s="1"/>
  <c r="C6" i="6"/>
  <c r="C27" i="2"/>
  <c r="C17" i="3"/>
  <c r="C27" i="3"/>
  <c r="C28" i="2" l="1"/>
  <c r="C29" i="2" s="1"/>
  <c r="C30" i="2" s="1"/>
  <c r="C31" i="2" s="1"/>
  <c r="C11" i="4" s="1"/>
  <c r="C14" i="2"/>
  <c r="C5" i="4" s="1"/>
  <c r="C7" i="6"/>
  <c r="C15" i="2" l="1"/>
  <c r="C23" i="2" s="1"/>
  <c r="C16" i="2"/>
  <c r="C18" i="2" s="1"/>
  <c r="C22" i="2" s="1"/>
  <c r="C9" i="4" s="1"/>
  <c r="C21" i="2"/>
  <c r="C8" i="4" s="1"/>
  <c r="C6" i="4"/>
  <c r="C7" i="4" l="1"/>
  <c r="C10" i="4"/>
  <c r="C24" i="2"/>
  <c r="C28" i="3" l="1"/>
  <c r="C29" i="3" s="1"/>
  <c r="C30" i="3" s="1"/>
  <c r="C31" i="3" s="1"/>
  <c r="D11" i="4" s="1"/>
  <c r="C14" i="3"/>
  <c r="C15" i="3" s="1"/>
  <c r="C3" i="5"/>
  <c r="C8" i="5" s="1"/>
  <c r="D4" i="4"/>
  <c r="C9" i="5" l="1"/>
  <c r="F9" i="5" s="1"/>
  <c r="C10" i="5"/>
  <c r="F10" i="5" s="1"/>
  <c r="C11" i="5"/>
  <c r="D11" i="5" s="1"/>
  <c r="E11" i="5" s="1"/>
  <c r="C12" i="5"/>
  <c r="F12" i="5" s="1"/>
  <c r="D9" i="5"/>
  <c r="E9" i="5" s="1"/>
  <c r="C16" i="3"/>
  <c r="C18" i="3" s="1"/>
  <c r="G6" i="6" s="1"/>
  <c r="G7" i="6" s="1"/>
  <c r="D12" i="5"/>
  <c r="E12" i="5" s="1"/>
  <c r="F11" i="5"/>
  <c r="C23" i="3"/>
  <c r="D6" i="4"/>
  <c r="D8" i="5"/>
  <c r="E8" i="5" s="1"/>
  <c r="F8" i="5"/>
  <c r="D10" i="5"/>
  <c r="E10" i="5" s="1"/>
  <c r="D5" i="4"/>
  <c r="E6" i="6"/>
  <c r="E7" i="6" s="1"/>
  <c r="D7" i="4"/>
  <c r="C15" i="5"/>
  <c r="C14" i="5"/>
  <c r="C7" i="5"/>
  <c r="C13" i="5"/>
  <c r="F6" i="6" l="1"/>
  <c r="F7" i="6" s="1"/>
  <c r="C21" i="3"/>
  <c r="D8" i="4" s="1"/>
  <c r="H6" i="6"/>
  <c r="H7" i="6" s="1"/>
  <c r="D6" i="6"/>
  <c r="D7" i="6" s="1"/>
  <c r="C22" i="3"/>
  <c r="D9" i="4" s="1"/>
  <c r="D10" i="4"/>
  <c r="C24" i="3"/>
  <c r="F14" i="5"/>
  <c r="D14" i="5"/>
  <c r="E14" i="5" s="1"/>
  <c r="C10" i="6"/>
  <c r="F13" i="5"/>
  <c r="D13" i="5"/>
  <c r="E13" i="5" s="1"/>
  <c r="D7" i="5"/>
  <c r="E7" i="5" s="1"/>
  <c r="F7" i="5"/>
  <c r="F15" i="5"/>
  <c r="D15" i="5"/>
  <c r="E15" i="5" s="1"/>
  <c r="C9" i="6" l="1"/>
</calcChain>
</file>

<file path=xl/sharedStrings.xml><?xml version="1.0" encoding="utf-8"?>
<sst xmlns="http://schemas.openxmlformats.org/spreadsheetml/2006/main" count="169" uniqueCount="91">
  <si>
    <t>PICKLEBALL COURT - INVESTMENT ASSUMPTIONS (INPUTS)</t>
  </si>
  <si>
    <t>CAPEX (เงินลงทุนก่อสร้าง)</t>
  </si>
  <si>
    <t>Construction Cost</t>
  </si>
  <si>
    <t>THB</t>
  </si>
  <si>
    <t>Contingency %</t>
  </si>
  <si>
    <t>%</t>
  </si>
  <si>
    <t>Assumption: 10% of construction cost</t>
  </si>
  <si>
    <t>OPEX ต่อเดือน (Monthly Operating Expenses)</t>
  </si>
  <si>
    <t>Salaries</t>
  </si>
  <si>
    <t>THB/mo</t>
  </si>
  <si>
    <t>Facilities / Utilities</t>
  </si>
  <si>
    <t>Land Rent / Lease</t>
  </si>
  <si>
    <t>Miscellaneous</t>
  </si>
  <si>
    <t>Revenue Assumptions - Professional Courts</t>
  </si>
  <si>
    <t>Hourly Rate per Court</t>
  </si>
  <si>
    <t>THB/hr</t>
  </si>
  <si>
    <t>Avg Utilization per Court</t>
  </si>
  <si>
    <t>hrs/day</t>
  </si>
  <si>
    <t>4pm-9pm peak time</t>
  </si>
  <si>
    <t>Number of Courts</t>
  </si>
  <si>
    <t>courts</t>
  </si>
  <si>
    <t>Revenue Assumptions - Simulator Courts</t>
  </si>
  <si>
    <t>THB/day</t>
  </si>
  <si>
    <t>Other Assumptions</t>
  </si>
  <si>
    <t>Days per Month</t>
  </si>
  <si>
    <t>days</t>
  </si>
  <si>
    <t>Months per Year</t>
  </si>
  <si>
    <t>months</t>
  </si>
  <si>
    <t>Discount Rate (WACC assumption)</t>
  </si>
  <si>
    <t>%/yr</t>
  </si>
  <si>
    <t>ASSUMPTION - ไม่มีในไฟล์ต้นฉบับ ใช้ค่ากลางสำหรับโครงการ SME</t>
  </si>
  <si>
    <t>Projection Horizon</t>
  </si>
  <si>
    <t>years</t>
  </si>
  <si>
    <t>SCENARIO 1: AS FILED (ตามไฟล์ต้นฉบับ)</t>
  </si>
  <si>
    <t>CAPEX</t>
  </si>
  <si>
    <t>Total CAPEX</t>
  </si>
  <si>
    <t>Daily Revenue</t>
  </si>
  <si>
    <t>Professional Courts Daily Revenue</t>
  </si>
  <si>
    <t>Simulator Courts Daily Revenue</t>
  </si>
  <si>
    <t>Total Daily Revenue</t>
  </si>
  <si>
    <t>Monthly / Annual P&amp;L</t>
  </si>
  <si>
    <t>Monthly OPEX</t>
  </si>
  <si>
    <t>Monthly Gross Revenue</t>
  </si>
  <si>
    <t>Monthly Net Profit</t>
  </si>
  <si>
    <t>Annual Gross Revenue</t>
  </si>
  <si>
    <t>Annual OPEX</t>
  </si>
  <si>
    <t>Annual EBITDA (Net Profit)</t>
  </si>
  <si>
    <t>Investor Feasibility Indicators</t>
  </si>
  <si>
    <t>EBITDA Margin %</t>
  </si>
  <si>
    <t>Accounting ROI (Year 1) %</t>
  </si>
  <si>
    <t>Payback Period (Months)</t>
  </si>
  <si>
    <t>Payback Period (Years)</t>
  </si>
  <si>
    <t>Dynamic Break-Even Analysis</t>
  </si>
  <si>
    <t>Daily Revenue Needed to Break Even</t>
  </si>
  <si>
    <t>Blended Rate per Hour (all courts)</t>
  </si>
  <si>
    <t>Break-Even Hours Needed (Total, all courts/day)</t>
  </si>
  <si>
    <t>hrs</t>
  </si>
  <si>
    <t>Break-Even Hours Needed per Court/Day</t>
  </si>
  <si>
    <t>Utilization Needed to Break Even %</t>
  </si>
  <si>
    <t>SCENARIO 2: RECONCILED (ตามสูตร Rate x Hours x Courts จริง) - แนะนำให้ใช้</t>
  </si>
  <si>
    <t>SCENARIO COMPARISON - AS FILED vs RECONCILED</t>
  </si>
  <si>
    <t>Indicator</t>
  </si>
  <si>
    <t>As Filed</t>
  </si>
  <si>
    <t>Reconciled</t>
  </si>
  <si>
    <t>Note</t>
  </si>
  <si>
    <t>Total Daily Revenue (THB/day)</t>
  </si>
  <si>
    <t>Monthly Gross Revenue (THB)</t>
  </si>
  <si>
    <t>Monthly Net Profit (THB)</t>
  </si>
  <si>
    <t>Annual EBITDA (THB)</t>
  </si>
  <si>
    <t>Accounting ROI Year 1 %</t>
  </si>
  <si>
    <t>Break-Even Utilization %</t>
  </si>
  <si>
    <t>ยึด Reconciled เป็นฐานเจรจากับผู้ถือหุ้น</t>
  </si>
  <si>
    <t>SENSITIVITY ANALYSIS - Utilization vs Returns (Reconciled Base)</t>
  </si>
  <si>
    <t>Base Daily Revenue @100% (link)</t>
  </si>
  <si>
    <t>Monthly OPEX (link)</t>
  </si>
  <si>
    <t>Utilization %</t>
  </si>
  <si>
    <t>Monthly Net (THB)</t>
  </si>
  <si>
    <t>ROI Yr1 %</t>
  </si>
  <si>
    <t>Payback (mo)</t>
  </si>
  <si>
    <t>5-YEAR CASH FLOW, NPV &amp; IRR (Reconciled Scenario, no growth)</t>
  </si>
  <si>
    <t>Discount Rate (link)</t>
  </si>
  <si>
    <t>Year</t>
  </si>
  <si>
    <t>Cash Flow (THB)</t>
  </si>
  <si>
    <t>Discounted Cash Flow</t>
  </si>
  <si>
    <t>NPV (sum of discounted CF)</t>
  </si>
  <si>
    <t>IRR (5-year)</t>
  </si>
  <si>
    <t>หมายเหตุ: ไม่มี growth ของรายได้, ไม่รวมภาษี/ดอกเบี้ย/ค่าเสื่อม (ไม่มีข้อมูลในไฟล์ต้นฉบับ), discount rate เป็น assumption</t>
  </si>
  <si>
    <t>Revenue Assumptions - Standard Courts</t>
  </si>
  <si>
    <t>Standard Daily Revenue (AS STATED IN SOURCE FILE)</t>
  </si>
  <si>
    <t>Total Daily all Courts Revenue</t>
  </si>
  <si>
    <t>Standard Courts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</si>
</sst>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7" formatCode="_(* #,##0_);_(* \(#,##0\);_(* &quot;-&quot;??_);_(@_)"/>
  </numFmts>
  <fonts count="15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name val="Calibri"/>
    </font>
    <font>
      <sz val="11"/>
      <color theme="1"/>
      <name val="Calibri"/>
    </font>
    <font>
      <b/>
      <sz val="10"/>
      <color rgb="FF000000"/>
      <name val="Arial"/>
    </font>
    <font>
      <sz val="10"/>
      <color rgb="FF0000FF"/>
      <name val="Arial"/>
    </font>
    <font>
      <i/>
      <sz val="9"/>
      <color rgb="FF9C6500"/>
      <name val="Arial"/>
    </font>
    <font>
      <i/>
      <sz val="9"/>
      <color rgb="FF808080"/>
      <name val="Arial"/>
    </font>
    <font>
      <sz val="10"/>
      <color rgb="FF000000"/>
      <name val="Arial"/>
    </font>
    <font>
      <sz val="10"/>
      <color rgb="FF008000"/>
      <name val="Arial"/>
    </font>
    <font>
      <b/>
      <sz val="10"/>
      <color rgb="FF00800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5E35"/>
        <bgColor rgb="FF1B5E35"/>
      </patternFill>
    </fill>
    <fill>
      <patternFill patternType="solid">
        <fgColor rgb="FFE3F0E6"/>
        <bgColor rgb="FFE3F0E6"/>
      </patternFill>
    </fill>
    <fill>
      <patternFill patternType="solid">
        <fgColor rgb="FFFFF3CD"/>
        <bgColor rgb="FFFFF3CD"/>
      </patternFill>
    </fill>
    <fill>
      <patternFill patternType="solid">
        <fgColor rgb="FFF0F4F1"/>
        <bgColor rgb="FFF0F4F1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7">
    <xf numFmtId="0" fontId="0" fillId="0" borderId="0" xfId="0"/>
    <xf numFmtId="0" fontId="3" fillId="0" borderId="4" xfId="0" applyFont="1" applyBorder="1"/>
    <xf numFmtId="0" fontId="4" fillId="3" borderId="4" xfId="0" applyFont="1" applyFill="1" applyBorder="1"/>
    <xf numFmtId="0" fontId="3" fillId="3" borderId="4" xfId="0" applyFont="1" applyFill="1" applyBorder="1"/>
    <xf numFmtId="3" fontId="5" fillId="0" borderId="4" xfId="0" applyNumberFormat="1" applyFont="1" applyBorder="1"/>
    <xf numFmtId="9" fontId="5" fillId="0" borderId="4" xfId="0" applyNumberFormat="1" applyFont="1" applyBorder="1"/>
    <xf numFmtId="0" fontId="5" fillId="0" borderId="4" xfId="0" applyFont="1" applyBorder="1"/>
    <xf numFmtId="3" fontId="5" fillId="4" borderId="4" xfId="0" applyNumberFormat="1" applyFont="1" applyFill="1" applyBorder="1"/>
    <xf numFmtId="0" fontId="6" fillId="0" borderId="4" xfId="0" applyFont="1" applyBorder="1"/>
    <xf numFmtId="0" fontId="7" fillId="0" borderId="4" xfId="0" applyFont="1" applyBorder="1"/>
    <xf numFmtId="3" fontId="8" fillId="0" borderId="4" xfId="0" applyNumberFormat="1" applyFont="1" applyBorder="1"/>
    <xf numFmtId="3" fontId="9" fillId="0" borderId="4" xfId="0" applyNumberFormat="1" applyFont="1" applyBorder="1"/>
    <xf numFmtId="0" fontId="3" fillId="5" borderId="4" xfId="0" applyFont="1" applyFill="1" applyBorder="1"/>
    <xf numFmtId="3" fontId="4" fillId="5" borderId="4" xfId="0" applyNumberFormat="1" applyFont="1" applyFill="1" applyBorder="1"/>
    <xf numFmtId="9" fontId="3" fillId="0" borderId="4" xfId="0" applyNumberFormat="1" applyFont="1" applyBorder="1"/>
    <xf numFmtId="164" fontId="8" fillId="0" borderId="4" xfId="0" applyNumberFormat="1" applyFont="1" applyBorder="1"/>
    <xf numFmtId="165" fontId="8" fillId="0" borderId="4" xfId="0" applyNumberFormat="1" applyFont="1" applyBorder="1"/>
    <xf numFmtId="2" fontId="8" fillId="0" borderId="4" xfId="0" applyNumberFormat="1" applyFont="1" applyBorder="1"/>
    <xf numFmtId="164" fontId="4" fillId="5" borderId="4" xfId="0" applyNumberFormat="1" applyFont="1" applyFill="1" applyBorder="1"/>
    <xf numFmtId="0" fontId="8" fillId="0" borderId="4" xfId="0" applyFont="1" applyBorder="1"/>
    <xf numFmtId="3" fontId="10" fillId="0" borderId="4" xfId="0" applyNumberFormat="1" applyFont="1" applyBorder="1"/>
    <xf numFmtId="164" fontId="9" fillId="0" borderId="4" xfId="0" applyNumberFormat="1" applyFont="1" applyBorder="1"/>
    <xf numFmtId="164" fontId="10" fillId="0" borderId="4" xfId="0" applyNumberFormat="1" applyFont="1" applyBorder="1"/>
    <xf numFmtId="165" fontId="9" fillId="0" borderId="4" xfId="0" applyNumberFormat="1" applyFont="1" applyBorder="1"/>
    <xf numFmtId="165" fontId="10" fillId="0" borderId="4" xfId="0" applyNumberFormat="1" applyFont="1" applyBorder="1"/>
    <xf numFmtId="9" fontId="9" fillId="0" borderId="4" xfId="0" applyNumberFormat="1" applyFont="1" applyBorder="1"/>
    <xf numFmtId="0" fontId="4" fillId="5" borderId="4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7" fontId="13" fillId="0" borderId="4" xfId="1" applyNumberFormat="1" applyFont="1" applyBorder="1"/>
    <xf numFmtId="0" fontId="14" fillId="3" borderId="4" xfId="0" applyFont="1" applyFill="1" applyBorder="1"/>
    <xf numFmtId="0" fontId="12" fillId="0" borderId="4" xfId="0" applyFont="1" applyBorder="1"/>
    <xf numFmtId="9" fontId="6" fillId="0" borderId="4" xfId="0" applyNumberFormat="1" applyFont="1" applyBorder="1"/>
    <xf numFmtId="3" fontId="5" fillId="0" borderId="4" xfId="0" applyNumberFormat="1" applyFont="1" applyFill="1" applyBorder="1"/>
    <xf numFmtId="9" fontId="8" fillId="0" borderId="4" xfId="2" applyFont="1" applyBorder="1"/>
    <xf numFmtId="167" fontId="5" fillId="6" borderId="4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4"/>
  <sheetViews>
    <sheetView showGridLines="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defaultColWidth="14.453125" defaultRowHeight="15" customHeight="1" x14ac:dyDescent="0.35"/>
  <cols>
    <col min="1" max="1" width="3" customWidth="1"/>
    <col min="2" max="2" width="51" customWidth="1"/>
    <col min="3" max="3" width="16" customWidth="1"/>
    <col min="4" max="4" width="12" customWidth="1"/>
    <col min="5" max="5" width="50" customWidth="1"/>
    <col min="6" max="26" width="8.7265625" customWidth="1"/>
  </cols>
  <sheetData>
    <row r="1" spans="2:5" ht="21.75" customHeight="1" x14ac:dyDescent="0.35">
      <c r="B1" s="27" t="s">
        <v>0</v>
      </c>
      <c r="C1" s="28"/>
      <c r="D1" s="28"/>
      <c r="E1" s="29"/>
    </row>
    <row r="2" spans="2:5" ht="14.5" x14ac:dyDescent="0.35">
      <c r="B2" s="1"/>
      <c r="C2" s="1"/>
      <c r="D2" s="1"/>
      <c r="E2" s="1"/>
    </row>
    <row r="3" spans="2:5" ht="14.5" x14ac:dyDescent="0.35">
      <c r="B3" s="2" t="s">
        <v>1</v>
      </c>
      <c r="C3" s="3"/>
      <c r="D3" s="3"/>
      <c r="E3" s="3"/>
    </row>
    <row r="4" spans="2:5" ht="14.5" x14ac:dyDescent="0.35">
      <c r="B4" s="1" t="s">
        <v>2</v>
      </c>
      <c r="C4" s="4">
        <v>3000000</v>
      </c>
      <c r="D4" s="1" t="s">
        <v>3</v>
      </c>
      <c r="E4" s="1"/>
    </row>
    <row r="5" spans="2:5" ht="14.5" x14ac:dyDescent="0.35">
      <c r="B5" s="1" t="s">
        <v>4</v>
      </c>
      <c r="C5" s="5">
        <v>0.1</v>
      </c>
      <c r="D5" s="1" t="s">
        <v>5</v>
      </c>
      <c r="E5" s="1" t="s">
        <v>6</v>
      </c>
    </row>
    <row r="6" spans="2:5" ht="14.5" x14ac:dyDescent="0.35">
      <c r="B6" s="1"/>
      <c r="C6" s="30">
        <f>(C4*C5)+C4</f>
        <v>3300000</v>
      </c>
      <c r="D6" s="1"/>
      <c r="E6" s="1"/>
    </row>
    <row r="7" spans="2:5" ht="14.5" x14ac:dyDescent="0.35">
      <c r="B7" s="2" t="s">
        <v>7</v>
      </c>
      <c r="C7" s="3"/>
      <c r="D7" s="3"/>
      <c r="E7" s="3"/>
    </row>
    <row r="8" spans="2:5" ht="14.5" x14ac:dyDescent="0.35">
      <c r="B8" s="1" t="s">
        <v>8</v>
      </c>
      <c r="C8" s="4">
        <v>50000</v>
      </c>
      <c r="D8" s="1" t="s">
        <v>9</v>
      </c>
      <c r="E8" s="1"/>
    </row>
    <row r="9" spans="2:5" ht="14.5" x14ac:dyDescent="0.35">
      <c r="B9" s="1" t="s">
        <v>10</v>
      </c>
      <c r="C9" s="4">
        <v>80000</v>
      </c>
      <c r="D9" s="1" t="s">
        <v>9</v>
      </c>
      <c r="E9" s="1"/>
    </row>
    <row r="10" spans="2:5" ht="14.5" x14ac:dyDescent="0.35">
      <c r="B10" s="1" t="s">
        <v>11</v>
      </c>
      <c r="C10" s="4">
        <v>150000</v>
      </c>
      <c r="D10" s="1" t="s">
        <v>9</v>
      </c>
      <c r="E10" s="1"/>
    </row>
    <row r="11" spans="2:5" ht="14.5" x14ac:dyDescent="0.35">
      <c r="B11" s="1" t="s">
        <v>12</v>
      </c>
      <c r="C11" s="4">
        <v>25000</v>
      </c>
      <c r="D11" s="1" t="s">
        <v>9</v>
      </c>
      <c r="E11" s="1"/>
    </row>
    <row r="12" spans="2:5" ht="14.5" x14ac:dyDescent="0.35">
      <c r="B12" s="1"/>
      <c r="C12" s="1"/>
      <c r="D12" s="1"/>
      <c r="E12" s="1"/>
    </row>
    <row r="13" spans="2:5" ht="14.5" x14ac:dyDescent="0.35">
      <c r="B13" s="2" t="s">
        <v>13</v>
      </c>
      <c r="C13" s="3"/>
      <c r="D13" s="3"/>
      <c r="E13" s="3"/>
    </row>
    <row r="14" spans="2:5" ht="14.5" x14ac:dyDescent="0.35">
      <c r="B14" s="1" t="s">
        <v>14</v>
      </c>
      <c r="C14" s="4">
        <v>700</v>
      </c>
      <c r="D14" s="1" t="s">
        <v>15</v>
      </c>
      <c r="E14" s="1"/>
    </row>
    <row r="15" spans="2:5" ht="14.5" x14ac:dyDescent="0.35">
      <c r="B15" s="1" t="s">
        <v>16</v>
      </c>
      <c r="C15" s="6">
        <v>6</v>
      </c>
      <c r="D15" s="1" t="s">
        <v>17</v>
      </c>
      <c r="E15" s="1" t="s">
        <v>18</v>
      </c>
    </row>
    <row r="16" spans="2:5" ht="14.5" x14ac:dyDescent="0.35">
      <c r="B16" s="1" t="s">
        <v>19</v>
      </c>
      <c r="C16" s="6">
        <v>3</v>
      </c>
      <c r="D16" s="1" t="s">
        <v>20</v>
      </c>
      <c r="E16" s="1"/>
    </row>
    <row r="17" spans="2:5" ht="14.5" x14ac:dyDescent="0.35">
      <c r="B17" s="1"/>
      <c r="C17" s="36">
        <f>(C14*C15*C16)*E17</f>
        <v>12600</v>
      </c>
      <c r="D17" s="32" t="s">
        <v>22</v>
      </c>
      <c r="E17" s="14">
        <v>1</v>
      </c>
    </row>
    <row r="18" spans="2:5" ht="14.5" x14ac:dyDescent="0.35">
      <c r="B18" s="1"/>
      <c r="C18" s="1"/>
      <c r="D18" s="1"/>
      <c r="E18" s="1"/>
    </row>
    <row r="19" spans="2:5" ht="14.5" x14ac:dyDescent="0.35">
      <c r="B19" s="31" t="s">
        <v>87</v>
      </c>
      <c r="C19" s="3"/>
      <c r="D19" s="3"/>
      <c r="E19" s="3"/>
    </row>
    <row r="20" spans="2:5" ht="14.5" x14ac:dyDescent="0.35">
      <c r="B20" s="1" t="s">
        <v>14</v>
      </c>
      <c r="C20" s="4">
        <v>400</v>
      </c>
      <c r="D20" s="1" t="s">
        <v>15</v>
      </c>
      <c r="E20" s="1"/>
    </row>
    <row r="21" spans="2:5" ht="14.5" x14ac:dyDescent="0.35">
      <c r="B21" s="1" t="s">
        <v>16</v>
      </c>
      <c r="C21" s="6">
        <v>6</v>
      </c>
      <c r="D21" s="1" t="s">
        <v>17</v>
      </c>
      <c r="E21" s="1" t="s">
        <v>18</v>
      </c>
    </row>
    <row r="22" spans="2:5" ht="15.75" customHeight="1" x14ac:dyDescent="0.35">
      <c r="B22" s="1" t="s">
        <v>19</v>
      </c>
      <c r="C22" s="6">
        <v>2</v>
      </c>
      <c r="D22" s="1" t="s">
        <v>20</v>
      </c>
      <c r="E22" s="1"/>
    </row>
    <row r="23" spans="2:5" ht="15.75" customHeight="1" x14ac:dyDescent="0.35">
      <c r="B23" s="32" t="s">
        <v>88</v>
      </c>
      <c r="C23" s="7">
        <f>(C20*C21*C22)*E23</f>
        <v>4800</v>
      </c>
      <c r="D23" s="1" t="s">
        <v>22</v>
      </c>
      <c r="E23" s="33">
        <v>1</v>
      </c>
    </row>
    <row r="24" spans="2:5" ht="15.75" customHeight="1" x14ac:dyDescent="0.35">
      <c r="B24" s="1"/>
      <c r="C24" s="1"/>
      <c r="D24" s="1"/>
      <c r="E24" s="1"/>
    </row>
    <row r="25" spans="2:5" ht="15.75" customHeight="1" x14ac:dyDescent="0.35">
      <c r="B25" s="31" t="s">
        <v>21</v>
      </c>
      <c r="C25" s="3"/>
      <c r="D25" s="3"/>
      <c r="E25" s="3"/>
    </row>
    <row r="26" spans="2:5" ht="15.75" customHeight="1" x14ac:dyDescent="0.35">
      <c r="B26" s="1" t="s">
        <v>14</v>
      </c>
      <c r="C26" s="4">
        <v>300</v>
      </c>
      <c r="D26" s="1" t="s">
        <v>15</v>
      </c>
      <c r="E26" s="1"/>
    </row>
    <row r="27" spans="2:5" ht="15.75" customHeight="1" x14ac:dyDescent="0.35">
      <c r="B27" s="1" t="s">
        <v>16</v>
      </c>
      <c r="C27" s="6">
        <v>6</v>
      </c>
      <c r="D27" s="1" t="s">
        <v>17</v>
      </c>
      <c r="E27" s="1" t="s">
        <v>18</v>
      </c>
    </row>
    <row r="28" spans="2:5" ht="15.75" customHeight="1" x14ac:dyDescent="0.35">
      <c r="B28" s="1" t="s">
        <v>19</v>
      </c>
      <c r="C28" s="6">
        <v>2</v>
      </c>
      <c r="D28" s="1" t="s">
        <v>20</v>
      </c>
      <c r="E28" s="1"/>
    </row>
    <row r="29" spans="2:5" ht="15.75" customHeight="1" x14ac:dyDescent="0.35">
      <c r="B29" s="32" t="s">
        <v>88</v>
      </c>
      <c r="C29" s="7">
        <f>(C26*C27*C28)*E29</f>
        <v>3600</v>
      </c>
      <c r="D29" s="1" t="s">
        <v>22</v>
      </c>
      <c r="E29" s="33">
        <v>1</v>
      </c>
    </row>
    <row r="30" spans="2:5" ht="15.75" customHeight="1" x14ac:dyDescent="0.35">
      <c r="B30" s="32"/>
      <c r="C30" s="34"/>
      <c r="D30" s="1"/>
      <c r="E30" s="33"/>
    </row>
    <row r="31" spans="2:5" ht="15.75" customHeight="1" x14ac:dyDescent="0.35">
      <c r="B31" s="32" t="s">
        <v>89</v>
      </c>
      <c r="C31" s="7">
        <f>C17+C23+C29</f>
        <v>21000</v>
      </c>
      <c r="D31" s="1" t="s">
        <v>22</v>
      </c>
      <c r="E31" s="33"/>
    </row>
    <row r="32" spans="2:5" ht="15.75" customHeight="1" x14ac:dyDescent="0.35">
      <c r="B32" s="1"/>
      <c r="C32" s="1"/>
      <c r="D32" s="1"/>
      <c r="E32" s="1"/>
    </row>
    <row r="33" spans="2:5" ht="15.75" customHeight="1" x14ac:dyDescent="0.35">
      <c r="B33" s="2" t="s">
        <v>23</v>
      </c>
      <c r="C33" s="3"/>
      <c r="D33" s="3"/>
      <c r="E33" s="3"/>
    </row>
    <row r="34" spans="2:5" ht="15.75" customHeight="1" x14ac:dyDescent="0.35">
      <c r="B34" s="1" t="s">
        <v>24</v>
      </c>
      <c r="C34" s="6">
        <v>30</v>
      </c>
      <c r="D34" s="1" t="s">
        <v>25</v>
      </c>
      <c r="E34" s="1"/>
    </row>
    <row r="35" spans="2:5" ht="15.75" customHeight="1" x14ac:dyDescent="0.35">
      <c r="B35" s="1" t="s">
        <v>26</v>
      </c>
      <c r="C35" s="6">
        <v>12</v>
      </c>
      <c r="D35" s="1" t="s">
        <v>27</v>
      </c>
      <c r="E35" s="1"/>
    </row>
    <row r="36" spans="2:5" ht="15.75" customHeight="1" x14ac:dyDescent="0.35">
      <c r="B36" s="1" t="s">
        <v>28</v>
      </c>
      <c r="C36" s="5">
        <v>0.1</v>
      </c>
      <c r="D36" s="1" t="s">
        <v>29</v>
      </c>
      <c r="E36" s="9" t="s">
        <v>30</v>
      </c>
    </row>
    <row r="37" spans="2:5" ht="15.75" customHeight="1" x14ac:dyDescent="0.35">
      <c r="B37" s="1" t="s">
        <v>31</v>
      </c>
      <c r="C37" s="6">
        <v>5</v>
      </c>
      <c r="D37" s="1" t="s">
        <v>32</v>
      </c>
      <c r="E37" s="1"/>
    </row>
    <row r="38" spans="2:5" ht="15.75" customHeight="1" x14ac:dyDescent="0.35"/>
    <row r="39" spans="2:5" ht="15.75" customHeight="1" x14ac:dyDescent="0.35"/>
    <row r="40" spans="2:5" ht="15.75" customHeight="1" x14ac:dyDescent="0.35"/>
    <row r="41" spans="2:5" ht="15.75" customHeight="1" x14ac:dyDescent="0.35"/>
    <row r="42" spans="2:5" ht="15.75" customHeight="1" x14ac:dyDescent="0.35"/>
    <row r="43" spans="2:5" ht="15.75" customHeight="1" x14ac:dyDescent="0.35"/>
    <row r="44" spans="2:5" ht="15.75" customHeight="1" x14ac:dyDescent="0.35"/>
    <row r="45" spans="2:5" ht="15.75" customHeight="1" x14ac:dyDescent="0.35"/>
    <row r="46" spans="2:5" ht="15.75" customHeight="1" x14ac:dyDescent="0.35"/>
    <row r="47" spans="2:5" ht="15.75" customHeight="1" x14ac:dyDescent="0.35"/>
    <row r="48" spans="2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mergeCells count="1">
    <mergeCell ref="B1:E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0" sqref="E10"/>
    </sheetView>
  </sheetViews>
  <sheetFormatPr defaultColWidth="14.453125" defaultRowHeight="15" customHeight="1" x14ac:dyDescent="0.35"/>
  <cols>
    <col min="1" max="1" width="3" customWidth="1"/>
    <col min="2" max="2" width="48.54296875" customWidth="1"/>
    <col min="3" max="3" width="16" customWidth="1"/>
    <col min="4" max="4" width="12" customWidth="1"/>
    <col min="5" max="5" width="40" customWidth="1"/>
    <col min="6" max="26" width="8.7265625" customWidth="1"/>
  </cols>
  <sheetData>
    <row r="1" spans="2:5" ht="21.75" customHeight="1" x14ac:dyDescent="0.35">
      <c r="B1" s="27" t="s">
        <v>33</v>
      </c>
      <c r="C1" s="28"/>
      <c r="D1" s="28"/>
      <c r="E1" s="29"/>
    </row>
    <row r="2" spans="2:5" ht="14.5" x14ac:dyDescent="0.35">
      <c r="B2" s="1"/>
      <c r="C2" s="1"/>
      <c r="D2" s="1"/>
      <c r="E2" s="1"/>
    </row>
    <row r="3" spans="2:5" ht="14.5" x14ac:dyDescent="0.35">
      <c r="B3" s="2" t="s">
        <v>34</v>
      </c>
      <c r="C3" s="3"/>
      <c r="D3" s="3"/>
      <c r="E3" s="3"/>
    </row>
    <row r="4" spans="2:5" ht="14.5" x14ac:dyDescent="0.35">
      <c r="B4" s="1" t="s">
        <v>35</v>
      </c>
      <c r="C4" s="10">
        <f>Assumptions!$C$4*(1+Assumptions!$C$5)</f>
        <v>3300000.0000000005</v>
      </c>
      <c r="D4" s="1" t="s">
        <v>3</v>
      </c>
      <c r="E4" s="1"/>
    </row>
    <row r="5" spans="2:5" ht="14.5" x14ac:dyDescent="0.35">
      <c r="B5" s="1"/>
      <c r="C5" s="1"/>
      <c r="D5" s="1"/>
      <c r="E5" s="1"/>
    </row>
    <row r="6" spans="2:5" ht="14.5" x14ac:dyDescent="0.35">
      <c r="B6" s="2" t="s">
        <v>36</v>
      </c>
      <c r="C6" s="3"/>
      <c r="D6" s="3"/>
      <c r="E6" s="3"/>
    </row>
    <row r="7" spans="2:5" ht="14.5" x14ac:dyDescent="0.35">
      <c r="B7" s="1" t="s">
        <v>37</v>
      </c>
      <c r="C7" s="10">
        <f>Assumptions!C17</f>
        <v>12600</v>
      </c>
      <c r="D7" s="1" t="s">
        <v>22</v>
      </c>
      <c r="E7" s="1"/>
    </row>
    <row r="8" spans="2:5" ht="14.5" x14ac:dyDescent="0.35">
      <c r="B8" s="32" t="s">
        <v>90</v>
      </c>
      <c r="C8" s="10">
        <f>Assumptions!C23</f>
        <v>4800</v>
      </c>
      <c r="D8" s="1" t="s">
        <v>22</v>
      </c>
      <c r="E8" s="1"/>
    </row>
    <row r="9" spans="2:5" ht="14.5" x14ac:dyDescent="0.35">
      <c r="B9" s="1" t="s">
        <v>38</v>
      </c>
      <c r="C9" s="11">
        <f>Assumptions!C29</f>
        <v>3600</v>
      </c>
      <c r="D9" s="1" t="s">
        <v>22</v>
      </c>
      <c r="E9" s="8"/>
    </row>
    <row r="10" spans="2:5" ht="14.5" x14ac:dyDescent="0.35">
      <c r="B10" s="12" t="s">
        <v>39</v>
      </c>
      <c r="C10" s="13">
        <f>SUM(C7:C9)</f>
        <v>21000</v>
      </c>
      <c r="D10" s="1" t="s">
        <v>22</v>
      </c>
      <c r="E10" s="14"/>
    </row>
    <row r="11" spans="2:5" ht="14.5" x14ac:dyDescent="0.35">
      <c r="B11" s="1"/>
      <c r="C11" s="1"/>
      <c r="D11" s="1"/>
      <c r="E11" s="1"/>
    </row>
    <row r="12" spans="2:5" ht="14.5" x14ac:dyDescent="0.35">
      <c r="B12" s="2" t="s">
        <v>40</v>
      </c>
      <c r="C12" s="3"/>
      <c r="D12" s="3"/>
      <c r="E12" s="3"/>
    </row>
    <row r="13" spans="2:5" ht="14.5" x14ac:dyDescent="0.35">
      <c r="B13" s="1" t="s">
        <v>41</v>
      </c>
      <c r="C13" s="10">
        <f>Assumptions!$C$8+Assumptions!$C$9+Assumptions!$C$10+Assumptions!$C$11</f>
        <v>305000</v>
      </c>
      <c r="D13" s="1" t="s">
        <v>3</v>
      </c>
      <c r="E13" s="1"/>
    </row>
    <row r="14" spans="2:5" ht="14.5" x14ac:dyDescent="0.35">
      <c r="B14" s="1" t="s">
        <v>42</v>
      </c>
      <c r="C14" s="10">
        <f>C10*Assumptions!$C$34</f>
        <v>630000</v>
      </c>
      <c r="D14" s="1" t="s">
        <v>3</v>
      </c>
      <c r="E14" s="1"/>
    </row>
    <row r="15" spans="2:5" ht="14.5" x14ac:dyDescent="0.35">
      <c r="B15" s="12" t="s">
        <v>43</v>
      </c>
      <c r="C15" s="13">
        <f>C14-C13</f>
        <v>325000</v>
      </c>
      <c r="D15" s="1" t="s">
        <v>3</v>
      </c>
      <c r="E15" s="1"/>
    </row>
    <row r="16" spans="2:5" ht="14.5" x14ac:dyDescent="0.35">
      <c r="B16" s="1" t="s">
        <v>44</v>
      </c>
      <c r="C16" s="10">
        <f>C14*Assumptions!$C$35</f>
        <v>7560000</v>
      </c>
      <c r="D16" s="1" t="s">
        <v>3</v>
      </c>
      <c r="E16" s="1"/>
    </row>
    <row r="17" spans="2:5" ht="14.5" x14ac:dyDescent="0.35">
      <c r="B17" s="1" t="s">
        <v>45</v>
      </c>
      <c r="C17" s="10">
        <f>C13*Assumptions!$C$35</f>
        <v>3660000</v>
      </c>
      <c r="D17" s="1" t="s">
        <v>3</v>
      </c>
      <c r="E17" s="1"/>
    </row>
    <row r="18" spans="2:5" ht="14.5" x14ac:dyDescent="0.35">
      <c r="B18" s="12" t="s">
        <v>46</v>
      </c>
      <c r="C18" s="13">
        <f>C16-C17</f>
        <v>3900000</v>
      </c>
      <c r="D18" s="1" t="s">
        <v>3</v>
      </c>
      <c r="E18" s="1"/>
    </row>
    <row r="19" spans="2:5" ht="14.5" x14ac:dyDescent="0.35">
      <c r="B19" s="1"/>
      <c r="C19" s="1"/>
      <c r="D19" s="1"/>
      <c r="E19" s="1"/>
    </row>
    <row r="20" spans="2:5" ht="14.5" x14ac:dyDescent="0.35">
      <c r="B20" s="2" t="s">
        <v>47</v>
      </c>
      <c r="C20" s="3"/>
      <c r="D20" s="3"/>
      <c r="E20" s="3"/>
    </row>
    <row r="21" spans="2:5" ht="14.5" x14ac:dyDescent="0.35">
      <c r="B21" s="1" t="s">
        <v>48</v>
      </c>
      <c r="C21" s="15">
        <f>C18/C16</f>
        <v>0.51587301587301593</v>
      </c>
      <c r="D21" s="1"/>
      <c r="E21" s="1"/>
    </row>
    <row r="22" spans="2:5" ht="15.75" customHeight="1" x14ac:dyDescent="0.35">
      <c r="B22" s="1" t="s">
        <v>49</v>
      </c>
      <c r="C22" s="15">
        <f>C18/C4</f>
        <v>1.1818181818181817</v>
      </c>
      <c r="D22" s="1"/>
      <c r="E22" s="1"/>
    </row>
    <row r="23" spans="2:5" ht="15.75" customHeight="1" x14ac:dyDescent="0.35">
      <c r="B23" s="1" t="s">
        <v>50</v>
      </c>
      <c r="C23" s="16">
        <f>C4/C15</f>
        <v>10.153846153846155</v>
      </c>
      <c r="D23" s="1"/>
      <c r="E23" s="1"/>
    </row>
    <row r="24" spans="2:5" ht="15.75" customHeight="1" x14ac:dyDescent="0.35">
      <c r="B24" s="1" t="s">
        <v>51</v>
      </c>
      <c r="C24" s="17">
        <f>C23/12</f>
        <v>0.84615384615384626</v>
      </c>
      <c r="D24" s="1"/>
      <c r="E24" s="1"/>
    </row>
    <row r="25" spans="2:5" ht="15.75" customHeight="1" x14ac:dyDescent="0.35">
      <c r="B25" s="1"/>
      <c r="C25" s="1"/>
      <c r="D25" s="1"/>
      <c r="E25" s="1"/>
    </row>
    <row r="26" spans="2:5" ht="15.75" customHeight="1" x14ac:dyDescent="0.35">
      <c r="B26" s="2" t="s">
        <v>52</v>
      </c>
      <c r="C26" s="3"/>
      <c r="D26" s="3"/>
      <c r="E26" s="3"/>
    </row>
    <row r="27" spans="2:5" ht="15.75" customHeight="1" x14ac:dyDescent="0.35">
      <c r="B27" s="1" t="s">
        <v>53</v>
      </c>
      <c r="C27" s="10">
        <f>C13/Assumptions!$C$34</f>
        <v>10166.666666666666</v>
      </c>
      <c r="D27" s="1" t="s">
        <v>3</v>
      </c>
      <c r="E27" s="1"/>
    </row>
    <row r="28" spans="2:5" ht="15.75" customHeight="1" x14ac:dyDescent="0.35">
      <c r="B28" s="1" t="s">
        <v>54</v>
      </c>
      <c r="C28" s="10">
        <f>C10/((Assumptions!$C$15*Assumptions!$C$16)+(Assumptions!$C$21*Assumptions!$C$22))</f>
        <v>700</v>
      </c>
      <c r="D28" s="1" t="s">
        <v>15</v>
      </c>
      <c r="E28" s="1"/>
    </row>
    <row r="29" spans="2:5" ht="15.75" customHeight="1" x14ac:dyDescent="0.35">
      <c r="B29" s="1" t="s">
        <v>55</v>
      </c>
      <c r="C29" s="17">
        <f>C27/C28</f>
        <v>14.523809523809524</v>
      </c>
      <c r="D29" s="1" t="s">
        <v>56</v>
      </c>
      <c r="E29" s="1"/>
    </row>
    <row r="30" spans="2:5" ht="15.75" customHeight="1" x14ac:dyDescent="0.35">
      <c r="B30" s="1" t="s">
        <v>57</v>
      </c>
      <c r="C30" s="17">
        <f>C29/(Assumptions!$C$16+Assumptions!$C$22)</f>
        <v>2.9047619047619047</v>
      </c>
      <c r="D30" s="1" t="s">
        <v>56</v>
      </c>
      <c r="E30" s="1"/>
    </row>
    <row r="31" spans="2:5" ht="15.75" customHeight="1" x14ac:dyDescent="0.35">
      <c r="B31" s="12" t="s">
        <v>58</v>
      </c>
      <c r="C31" s="18">
        <f>C30/Assumptions!$C$15</f>
        <v>0.48412698412698413</v>
      </c>
      <c r="D31" s="1"/>
      <c r="E31" s="1"/>
    </row>
    <row r="32" spans="2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B1:E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defaultColWidth="14.453125" defaultRowHeight="15" customHeight="1" x14ac:dyDescent="0.35"/>
  <cols>
    <col min="1" max="1" width="3" customWidth="1"/>
    <col min="2" max="2" width="46.54296875" customWidth="1"/>
    <col min="3" max="3" width="16" customWidth="1"/>
    <col min="4" max="4" width="12" customWidth="1"/>
    <col min="5" max="5" width="46" customWidth="1"/>
    <col min="6" max="26" width="8.7265625" customWidth="1"/>
  </cols>
  <sheetData>
    <row r="1" spans="2:7" ht="21.75" customHeight="1" x14ac:dyDescent="0.35">
      <c r="B1" s="27" t="s">
        <v>59</v>
      </c>
      <c r="C1" s="28"/>
      <c r="D1" s="28"/>
      <c r="E1" s="29"/>
    </row>
    <row r="2" spans="2:7" ht="14.5" x14ac:dyDescent="0.35">
      <c r="B2" s="1"/>
      <c r="C2" s="1"/>
      <c r="D2" s="1"/>
      <c r="E2" s="1"/>
    </row>
    <row r="3" spans="2:7" ht="14.5" x14ac:dyDescent="0.35">
      <c r="B3" s="2" t="s">
        <v>34</v>
      </c>
      <c r="C3" s="3"/>
      <c r="D3" s="3"/>
      <c r="E3" s="3"/>
    </row>
    <row r="4" spans="2:7" ht="14.5" x14ac:dyDescent="0.35">
      <c r="B4" s="1" t="s">
        <v>35</v>
      </c>
      <c r="C4" s="10">
        <f>Assumptions!$C$4*(1+Assumptions!$C$5)</f>
        <v>3300000.0000000005</v>
      </c>
      <c r="D4" s="1" t="s">
        <v>3</v>
      </c>
      <c r="E4" s="1"/>
    </row>
    <row r="5" spans="2:7" ht="14.5" x14ac:dyDescent="0.35">
      <c r="B5" s="1"/>
      <c r="C5" s="1"/>
      <c r="D5" s="1"/>
      <c r="E5" s="1"/>
    </row>
    <row r="6" spans="2:7" ht="14.5" x14ac:dyDescent="0.35">
      <c r="B6" s="2" t="s">
        <v>36</v>
      </c>
      <c r="C6" s="3"/>
      <c r="D6" s="3"/>
      <c r="E6" s="3"/>
    </row>
    <row r="7" spans="2:7" ht="14.5" x14ac:dyDescent="0.35">
      <c r="B7" s="1" t="s">
        <v>37</v>
      </c>
      <c r="C7" s="10">
        <f>'Calc - As Filed'!C7*E7</f>
        <v>9450</v>
      </c>
      <c r="D7" s="1" t="s">
        <v>22</v>
      </c>
      <c r="E7" s="14">
        <v>0.75</v>
      </c>
    </row>
    <row r="8" spans="2:7" ht="14.5" x14ac:dyDescent="0.35">
      <c r="B8" s="32" t="s">
        <v>90</v>
      </c>
      <c r="C8" s="10">
        <f>'Calc - As Filed'!C8*E8</f>
        <v>3120</v>
      </c>
      <c r="D8" s="1" t="s">
        <v>22</v>
      </c>
      <c r="E8" s="14">
        <v>0.65</v>
      </c>
    </row>
    <row r="9" spans="2:7" ht="14.5" x14ac:dyDescent="0.35">
      <c r="B9" s="32" t="s">
        <v>90</v>
      </c>
      <c r="C9" s="10">
        <f>'Calc - As Filed'!C9*E9</f>
        <v>1800</v>
      </c>
      <c r="D9" s="1" t="s">
        <v>22</v>
      </c>
      <c r="E9" s="35">
        <v>0.5</v>
      </c>
      <c r="F9" s="1"/>
      <c r="G9" s="9"/>
    </row>
    <row r="10" spans="2:7" ht="14.5" x14ac:dyDescent="0.35">
      <c r="B10" s="12" t="s">
        <v>39</v>
      </c>
      <c r="C10" s="13">
        <f>SUM(C7:C9)</f>
        <v>14370</v>
      </c>
      <c r="D10" s="1" t="s">
        <v>22</v>
      </c>
      <c r="E10" s="14"/>
    </row>
    <row r="11" spans="2:7" ht="14.5" x14ac:dyDescent="0.35">
      <c r="B11" s="1"/>
      <c r="C11" s="1"/>
      <c r="D11" s="1"/>
      <c r="E11" s="1"/>
    </row>
    <row r="12" spans="2:7" ht="14.5" x14ac:dyDescent="0.35">
      <c r="B12" s="2" t="s">
        <v>40</v>
      </c>
      <c r="C12" s="3"/>
      <c r="D12" s="3"/>
      <c r="E12" s="3"/>
    </row>
    <row r="13" spans="2:7" ht="14.5" x14ac:dyDescent="0.35">
      <c r="B13" s="1" t="s">
        <v>41</v>
      </c>
      <c r="C13" s="10">
        <f>Assumptions!$C$8+Assumptions!$C$9+Assumptions!$C$10+Assumptions!$C$11</f>
        <v>305000</v>
      </c>
      <c r="D13" s="1" t="s">
        <v>3</v>
      </c>
      <c r="E13" s="1"/>
    </row>
    <row r="14" spans="2:7" ht="14.5" x14ac:dyDescent="0.35">
      <c r="B14" s="1" t="s">
        <v>42</v>
      </c>
      <c r="C14" s="10">
        <f>C10*Assumptions!$C$34</f>
        <v>431100</v>
      </c>
      <c r="D14" s="1" t="s">
        <v>3</v>
      </c>
      <c r="E14" s="1"/>
    </row>
    <row r="15" spans="2:7" ht="14.5" x14ac:dyDescent="0.35">
      <c r="B15" s="12" t="s">
        <v>43</v>
      </c>
      <c r="C15" s="13">
        <f>C14-C13</f>
        <v>126100</v>
      </c>
      <c r="D15" s="1" t="s">
        <v>3</v>
      </c>
      <c r="E15" s="1"/>
    </row>
    <row r="16" spans="2:7" ht="14.5" x14ac:dyDescent="0.35">
      <c r="B16" s="1" t="s">
        <v>44</v>
      </c>
      <c r="C16" s="10">
        <f>C14*Assumptions!$C$35</f>
        <v>5173200</v>
      </c>
      <c r="D16" s="1" t="s">
        <v>3</v>
      </c>
      <c r="E16" s="1"/>
    </row>
    <row r="17" spans="2:5" ht="14.5" x14ac:dyDescent="0.35">
      <c r="B17" s="1" t="s">
        <v>45</v>
      </c>
      <c r="C17" s="10">
        <f>C13*Assumptions!$C$35</f>
        <v>3660000</v>
      </c>
      <c r="D17" s="1" t="s">
        <v>3</v>
      </c>
      <c r="E17" s="1"/>
    </row>
    <row r="18" spans="2:5" ht="14.5" x14ac:dyDescent="0.35">
      <c r="B18" s="12" t="s">
        <v>46</v>
      </c>
      <c r="C18" s="13">
        <f>C16-C17</f>
        <v>1513200</v>
      </c>
      <c r="D18" s="1" t="s">
        <v>3</v>
      </c>
      <c r="E18" s="1"/>
    </row>
    <row r="19" spans="2:5" ht="14.5" x14ac:dyDescent="0.35">
      <c r="B19" s="1"/>
      <c r="C19" s="1"/>
      <c r="D19" s="1"/>
      <c r="E19" s="1"/>
    </row>
    <row r="20" spans="2:5" ht="14.5" x14ac:dyDescent="0.35">
      <c r="B20" s="2" t="s">
        <v>47</v>
      </c>
      <c r="C20" s="3"/>
      <c r="D20" s="3"/>
      <c r="E20" s="3"/>
    </row>
    <row r="21" spans="2:5" ht="14.5" x14ac:dyDescent="0.35">
      <c r="B21" s="1" t="s">
        <v>48</v>
      </c>
      <c r="C21" s="15">
        <f>C18/C16</f>
        <v>0.2925075388540942</v>
      </c>
      <c r="D21" s="1"/>
      <c r="E21" s="1"/>
    </row>
    <row r="22" spans="2:5" ht="15.75" customHeight="1" x14ac:dyDescent="0.35">
      <c r="B22" s="1" t="s">
        <v>49</v>
      </c>
      <c r="C22" s="15">
        <f>C18/C4</f>
        <v>0.45854545454545448</v>
      </c>
      <c r="D22" s="1"/>
      <c r="E22" s="1"/>
    </row>
    <row r="23" spans="2:5" ht="15.75" customHeight="1" x14ac:dyDescent="0.35">
      <c r="B23" s="1" t="s">
        <v>50</v>
      </c>
      <c r="C23" s="16">
        <f>C4/C15</f>
        <v>26.169706582077719</v>
      </c>
      <c r="D23" s="1"/>
      <c r="E23" s="1"/>
    </row>
    <row r="24" spans="2:5" ht="15.75" customHeight="1" x14ac:dyDescent="0.35">
      <c r="B24" s="1" t="s">
        <v>51</v>
      </c>
      <c r="C24" s="17">
        <f>C23/12</f>
        <v>2.1808088818398099</v>
      </c>
      <c r="D24" s="1"/>
      <c r="E24" s="1"/>
    </row>
    <row r="25" spans="2:5" ht="15.75" customHeight="1" x14ac:dyDescent="0.35">
      <c r="B25" s="1"/>
      <c r="C25" s="1"/>
      <c r="D25" s="1"/>
      <c r="E25" s="1"/>
    </row>
    <row r="26" spans="2:5" ht="15.75" customHeight="1" x14ac:dyDescent="0.35">
      <c r="B26" s="2" t="s">
        <v>52</v>
      </c>
      <c r="C26" s="3"/>
      <c r="D26" s="3"/>
      <c r="E26" s="3"/>
    </row>
    <row r="27" spans="2:5" ht="15.75" customHeight="1" x14ac:dyDescent="0.35">
      <c r="B27" s="1" t="s">
        <v>53</v>
      </c>
      <c r="C27" s="10">
        <f>C13/Assumptions!$C$34</f>
        <v>10166.666666666666</v>
      </c>
      <c r="D27" s="1" t="s">
        <v>3</v>
      </c>
      <c r="E27" s="1"/>
    </row>
    <row r="28" spans="2:5" ht="15.75" customHeight="1" x14ac:dyDescent="0.35">
      <c r="B28" s="1" t="s">
        <v>54</v>
      </c>
      <c r="C28" s="10">
        <f>C10/((Assumptions!$C$15*Assumptions!$C$16)+(Assumptions!$C$21*Assumptions!$C$22))</f>
        <v>479</v>
      </c>
      <c r="D28" s="1" t="s">
        <v>15</v>
      </c>
      <c r="E28" s="1"/>
    </row>
    <row r="29" spans="2:5" ht="15.75" customHeight="1" x14ac:dyDescent="0.35">
      <c r="B29" s="1" t="s">
        <v>55</v>
      </c>
      <c r="C29" s="17">
        <f>C27/C28</f>
        <v>21.224773834377174</v>
      </c>
      <c r="D29" s="1" t="s">
        <v>56</v>
      </c>
      <c r="E29" s="1"/>
    </row>
    <row r="30" spans="2:5" ht="15.75" customHeight="1" x14ac:dyDescent="0.35">
      <c r="B30" s="1" t="s">
        <v>57</v>
      </c>
      <c r="C30" s="17">
        <f>C29/(Assumptions!$C$16+Assumptions!$C$22)</f>
        <v>4.244954766875435</v>
      </c>
      <c r="D30" s="1" t="s">
        <v>56</v>
      </c>
      <c r="E30" s="1"/>
    </row>
    <row r="31" spans="2:5" ht="15.75" customHeight="1" x14ac:dyDescent="0.35">
      <c r="B31" s="12" t="s">
        <v>58</v>
      </c>
      <c r="C31" s="18">
        <f>C30/Assumptions!$C$15</f>
        <v>0.7074924611459058</v>
      </c>
      <c r="D31" s="1"/>
      <c r="E31" s="1"/>
    </row>
    <row r="32" spans="2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B1:E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00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7" sqref="E17"/>
    </sheetView>
  </sheetViews>
  <sheetFormatPr defaultColWidth="14.453125" defaultRowHeight="15" customHeight="1" x14ac:dyDescent="0.35"/>
  <cols>
    <col min="1" max="1" width="3" customWidth="1"/>
    <col min="2" max="2" width="38" customWidth="1"/>
    <col min="3" max="4" width="18" customWidth="1"/>
    <col min="5" max="5" width="40" customWidth="1"/>
    <col min="6" max="26" width="8.7265625" customWidth="1"/>
  </cols>
  <sheetData>
    <row r="1" spans="2:5" ht="21.75" customHeight="1" x14ac:dyDescent="0.35">
      <c r="B1" s="27" t="s">
        <v>60</v>
      </c>
      <c r="C1" s="28"/>
      <c r="D1" s="28"/>
      <c r="E1" s="29"/>
    </row>
    <row r="2" spans="2:5" ht="14.5" x14ac:dyDescent="0.35">
      <c r="B2" s="1"/>
      <c r="C2" s="1"/>
      <c r="D2" s="1"/>
      <c r="E2" s="1"/>
    </row>
    <row r="3" spans="2:5" ht="14.5" x14ac:dyDescent="0.35">
      <c r="B3" s="2" t="s">
        <v>61</v>
      </c>
      <c r="C3" s="2" t="s">
        <v>62</v>
      </c>
      <c r="D3" s="2" t="s">
        <v>63</v>
      </c>
      <c r="E3" s="2" t="s">
        <v>64</v>
      </c>
    </row>
    <row r="4" spans="2:5" ht="14.5" x14ac:dyDescent="0.35">
      <c r="B4" s="19" t="s">
        <v>65</v>
      </c>
      <c r="C4" s="11">
        <f>'Calc - As Filed'!C10</f>
        <v>21000</v>
      </c>
      <c r="D4" s="20">
        <f>'Calc - Reconciled'!C10</f>
        <v>14370</v>
      </c>
      <c r="E4" s="9"/>
    </row>
    <row r="5" spans="2:5" ht="14.5" x14ac:dyDescent="0.35">
      <c r="B5" s="19" t="s">
        <v>66</v>
      </c>
      <c r="C5" s="11">
        <f>'Calc - As Filed'!C14</f>
        <v>630000</v>
      </c>
      <c r="D5" s="20">
        <f>'Calc - Reconciled'!C14</f>
        <v>431100</v>
      </c>
      <c r="E5" s="9"/>
    </row>
    <row r="6" spans="2:5" ht="14.5" x14ac:dyDescent="0.35">
      <c r="B6" s="19" t="s">
        <v>67</v>
      </c>
      <c r="C6" s="11">
        <f>'Calc - As Filed'!C15</f>
        <v>325000</v>
      </c>
      <c r="D6" s="20">
        <f>'Calc - Reconciled'!C15</f>
        <v>126100</v>
      </c>
      <c r="E6" s="9"/>
    </row>
    <row r="7" spans="2:5" ht="14.5" x14ac:dyDescent="0.35">
      <c r="B7" s="19" t="s">
        <v>68</v>
      </c>
      <c r="C7" s="11">
        <f>'Calc - As Filed'!C18</f>
        <v>3900000</v>
      </c>
      <c r="D7" s="20">
        <f>'Calc - Reconciled'!C18</f>
        <v>1513200</v>
      </c>
      <c r="E7" s="9"/>
    </row>
    <row r="8" spans="2:5" ht="14.5" x14ac:dyDescent="0.35">
      <c r="B8" s="19" t="s">
        <v>48</v>
      </c>
      <c r="C8" s="21">
        <f>'Calc - As Filed'!C21</f>
        <v>0.51587301587301593</v>
      </c>
      <c r="D8" s="22">
        <f>'Calc - Reconciled'!C21</f>
        <v>0.2925075388540942</v>
      </c>
      <c r="E8" s="9"/>
    </row>
    <row r="9" spans="2:5" ht="14.5" x14ac:dyDescent="0.35">
      <c r="B9" s="19" t="s">
        <v>69</v>
      </c>
      <c r="C9" s="21">
        <f>'Calc - As Filed'!C22</f>
        <v>1.1818181818181817</v>
      </c>
      <c r="D9" s="22">
        <f>'Calc - Reconciled'!C22</f>
        <v>0.45854545454545448</v>
      </c>
      <c r="E9" s="9"/>
    </row>
    <row r="10" spans="2:5" ht="14.5" x14ac:dyDescent="0.35">
      <c r="B10" s="19" t="s">
        <v>50</v>
      </c>
      <c r="C10" s="23">
        <f>'Calc - As Filed'!C23</f>
        <v>10.153846153846155</v>
      </c>
      <c r="D10" s="24">
        <f>'Calc - Reconciled'!C23</f>
        <v>26.169706582077719</v>
      </c>
      <c r="E10" s="9"/>
    </row>
    <row r="11" spans="2:5" ht="14.5" x14ac:dyDescent="0.35">
      <c r="B11" s="19" t="s">
        <v>70</v>
      </c>
      <c r="C11" s="21">
        <f>'Calc - As Filed'!C31</f>
        <v>0.48412698412698413</v>
      </c>
      <c r="D11" s="22">
        <f>'Calc - Reconciled'!C31</f>
        <v>0.7074924611459058</v>
      </c>
      <c r="E11" s="9" t="s">
        <v>71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1:E1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000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53125" defaultRowHeight="15" customHeight="1" x14ac:dyDescent="0.35"/>
  <cols>
    <col min="1" max="1" width="3" customWidth="1"/>
    <col min="2" max="2" width="33.54296875" customWidth="1"/>
    <col min="3" max="3" width="25.7265625" customWidth="1"/>
    <col min="4" max="4" width="27" customWidth="1"/>
    <col min="5" max="6" width="16" customWidth="1"/>
    <col min="7" max="26" width="8.7265625" customWidth="1"/>
  </cols>
  <sheetData>
    <row r="1" spans="2:6" ht="21.75" customHeight="1" x14ac:dyDescent="0.35">
      <c r="B1" s="27" t="s">
        <v>72</v>
      </c>
      <c r="C1" s="28"/>
      <c r="D1" s="28"/>
      <c r="E1" s="28"/>
      <c r="F1" s="29"/>
    </row>
    <row r="2" spans="2:6" ht="14.5" x14ac:dyDescent="0.35">
      <c r="B2" s="1"/>
      <c r="C2" s="1"/>
      <c r="D2" s="1"/>
      <c r="E2" s="1"/>
      <c r="F2" s="1"/>
    </row>
    <row r="3" spans="2:6" ht="14.5" x14ac:dyDescent="0.35">
      <c r="B3" s="1" t="s">
        <v>73</v>
      </c>
      <c r="C3" s="11">
        <f>'Calc - Reconciled'!C10</f>
        <v>14370</v>
      </c>
      <c r="D3" s="1"/>
      <c r="E3" s="1"/>
      <c r="F3" s="1"/>
    </row>
    <row r="4" spans="2:6" ht="14.5" x14ac:dyDescent="0.35">
      <c r="B4" s="1" t="s">
        <v>74</v>
      </c>
      <c r="C4" s="11">
        <f>'Calc - Reconciled'!C13</f>
        <v>305000</v>
      </c>
      <c r="D4" s="1"/>
      <c r="E4" s="1"/>
      <c r="F4" s="1"/>
    </row>
    <row r="5" spans="2:6" ht="14.5" x14ac:dyDescent="0.35">
      <c r="B5" s="1"/>
      <c r="C5" s="1"/>
      <c r="D5" s="1"/>
      <c r="E5" s="1"/>
      <c r="F5" s="1"/>
    </row>
    <row r="6" spans="2:6" ht="14.5" x14ac:dyDescent="0.35">
      <c r="B6" s="2" t="s">
        <v>75</v>
      </c>
      <c r="C6" s="2" t="s">
        <v>76</v>
      </c>
      <c r="D6" s="2" t="s">
        <v>68</v>
      </c>
      <c r="E6" s="2" t="s">
        <v>77</v>
      </c>
      <c r="F6" s="2" t="s">
        <v>78</v>
      </c>
    </row>
    <row r="7" spans="2:6" ht="14.5" x14ac:dyDescent="0.35">
      <c r="B7" s="5">
        <v>1</v>
      </c>
      <c r="C7" s="10">
        <f>$C$3*B7*Assumptions!$C$34-$C$4</f>
        <v>126100</v>
      </c>
      <c r="D7" s="10">
        <f t="shared" ref="D7:D15" si="0">C7*12</f>
        <v>1513200</v>
      </c>
      <c r="E7" s="15">
        <f>D7/'Calc - Reconciled'!C4</f>
        <v>0.45854545454545448</v>
      </c>
      <c r="F7" s="16">
        <f>IF(C7&gt;0,'Calc - Reconciled'!C4/C7,"-")</f>
        <v>26.169706582077719</v>
      </c>
    </row>
    <row r="8" spans="2:6" ht="14.5" x14ac:dyDescent="0.35">
      <c r="B8" s="5">
        <v>0.9</v>
      </c>
      <c r="C8" s="10">
        <f>$C$3*B8*Assumptions!$C$34-$C$4</f>
        <v>82990</v>
      </c>
      <c r="D8" s="10">
        <f t="shared" si="0"/>
        <v>995880</v>
      </c>
      <c r="E8" s="15">
        <f>D8/'Calc - Reconciled'!C4</f>
        <v>0.30178181818181815</v>
      </c>
      <c r="F8" s="16">
        <f>IF(C8&gt;0,'Calc - Reconciled'!C4/C8,"-")</f>
        <v>39.763826967104478</v>
      </c>
    </row>
    <row r="9" spans="2:6" ht="14.5" x14ac:dyDescent="0.35">
      <c r="B9" s="5">
        <v>0.8</v>
      </c>
      <c r="C9" s="10">
        <f>$C$3*B9*Assumptions!$C$34-$C$4</f>
        <v>39880</v>
      </c>
      <c r="D9" s="10">
        <f t="shared" si="0"/>
        <v>478560</v>
      </c>
      <c r="E9" s="15">
        <f>D9/'Calc - Reconciled'!C4</f>
        <v>0.1450181818181818</v>
      </c>
      <c r="F9" s="16">
        <f>IF(C9&gt;0,'Calc - Reconciled'!C4/C9,"-")</f>
        <v>82.748244734202615</v>
      </c>
    </row>
    <row r="10" spans="2:6" ht="14.5" x14ac:dyDescent="0.35">
      <c r="B10" s="5">
        <v>0.7</v>
      </c>
      <c r="C10" s="10">
        <f>$C$3*B10*Assumptions!$C$34-$C$4</f>
        <v>-3230</v>
      </c>
      <c r="D10" s="10">
        <f t="shared" si="0"/>
        <v>-38760</v>
      </c>
      <c r="E10" s="15">
        <f>D10/'Calc - Reconciled'!C4</f>
        <v>-1.1745454545454543E-2</v>
      </c>
      <c r="F10" s="16" t="str">
        <f>IF(C10&gt;0,'Calc - Reconciled'!C4/C10,"-")</f>
        <v>-</v>
      </c>
    </row>
    <row r="11" spans="2:6" ht="14.5" x14ac:dyDescent="0.35">
      <c r="B11" s="5">
        <v>0.63</v>
      </c>
      <c r="C11" s="10">
        <f>$C$3*B11*Assumptions!$C$34-$C$4</f>
        <v>-33407</v>
      </c>
      <c r="D11" s="10">
        <f t="shared" si="0"/>
        <v>-400884</v>
      </c>
      <c r="E11" s="15">
        <f>D11/'Calc - Reconciled'!C4</f>
        <v>-0.12147999999999998</v>
      </c>
      <c r="F11" s="16" t="str">
        <f>IF(C11&gt;0,'Calc - Reconciled'!C4/C11,"-")</f>
        <v>-</v>
      </c>
    </row>
    <row r="12" spans="2:6" ht="14.5" x14ac:dyDescent="0.35">
      <c r="B12" s="5">
        <v>0.6</v>
      </c>
      <c r="C12" s="10">
        <f>$C$3*B12*Assumptions!$C$34-$C$4</f>
        <v>-46340</v>
      </c>
      <c r="D12" s="10">
        <f t="shared" si="0"/>
        <v>-556080</v>
      </c>
      <c r="E12" s="15">
        <f>D12/'Calc - Reconciled'!C4</f>
        <v>-0.16850909090909089</v>
      </c>
      <c r="F12" s="16" t="str">
        <f>IF(C12&gt;0,'Calc - Reconciled'!C4/C12,"-")</f>
        <v>-</v>
      </c>
    </row>
    <row r="13" spans="2:6" ht="14.5" x14ac:dyDescent="0.35">
      <c r="B13" s="5">
        <v>0.5</v>
      </c>
      <c r="C13" s="10">
        <f>$C$3*B13*Assumptions!$C$34-$C$4</f>
        <v>-89450</v>
      </c>
      <c r="D13" s="10">
        <f t="shared" si="0"/>
        <v>-1073400</v>
      </c>
      <c r="E13" s="15">
        <f>D13/'Calc - Reconciled'!C4</f>
        <v>-0.32527272727272721</v>
      </c>
      <c r="F13" s="16" t="str">
        <f>IF(C13&gt;0,'Calc - Reconciled'!C4/C13,"-")</f>
        <v>-</v>
      </c>
    </row>
    <row r="14" spans="2:6" ht="14.5" x14ac:dyDescent="0.35">
      <c r="B14" s="5">
        <v>0.4</v>
      </c>
      <c r="C14" s="10">
        <f>$C$3*B14*Assumptions!$C$34-$C$4</f>
        <v>-132560</v>
      </c>
      <c r="D14" s="10">
        <f t="shared" si="0"/>
        <v>-1590720</v>
      </c>
      <c r="E14" s="15">
        <f>D14/'Calc - Reconciled'!C4</f>
        <v>-0.48203636363636354</v>
      </c>
      <c r="F14" s="16" t="str">
        <f>IF(C14&gt;0,'Calc - Reconciled'!C4/C14,"-")</f>
        <v>-</v>
      </c>
    </row>
    <row r="15" spans="2:6" ht="14.5" x14ac:dyDescent="0.35">
      <c r="B15" s="5">
        <v>0.3</v>
      </c>
      <c r="C15" s="10">
        <f>$C$3*B15*Assumptions!$C$34-$C$4</f>
        <v>-175670</v>
      </c>
      <c r="D15" s="10">
        <f t="shared" si="0"/>
        <v>-2108040</v>
      </c>
      <c r="E15" s="15">
        <f>D15/'Calc - Reconciled'!C4</f>
        <v>-0.63879999999999992</v>
      </c>
      <c r="F15" s="16" t="str">
        <f>IF(C15&gt;0,'Calc - Reconciled'!C4/C15,"-")</f>
        <v>-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1:F1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000"/>
  <sheetViews>
    <sheetView showGridLines="0" workbookViewId="0">
      <selection activeCell="F21" sqref="F21"/>
    </sheetView>
  </sheetViews>
  <sheetFormatPr defaultColWidth="14.453125" defaultRowHeight="15" customHeight="1" x14ac:dyDescent="0.35"/>
  <cols>
    <col min="1" max="1" width="3" customWidth="1"/>
    <col min="2" max="2" width="40.26953125" customWidth="1"/>
    <col min="3" max="8" width="14" customWidth="1"/>
    <col min="9" max="26" width="8.7265625" customWidth="1"/>
  </cols>
  <sheetData>
    <row r="1" spans="2:8" ht="21.75" customHeight="1" x14ac:dyDescent="0.35">
      <c r="B1" s="27" t="s">
        <v>79</v>
      </c>
      <c r="C1" s="28"/>
      <c r="D1" s="28"/>
      <c r="E1" s="28"/>
      <c r="F1" s="28"/>
      <c r="G1" s="28"/>
      <c r="H1" s="29"/>
    </row>
    <row r="2" spans="2:8" ht="14.5" x14ac:dyDescent="0.35">
      <c r="B2" s="1"/>
      <c r="C2" s="1"/>
      <c r="D2" s="1"/>
      <c r="E2" s="1"/>
      <c r="F2" s="1"/>
      <c r="G2" s="1"/>
      <c r="H2" s="1"/>
    </row>
    <row r="3" spans="2:8" ht="14.5" x14ac:dyDescent="0.35">
      <c r="B3" s="1" t="s">
        <v>80</v>
      </c>
      <c r="C3" s="25">
        <f>Assumptions!$C$36</f>
        <v>0.1</v>
      </c>
      <c r="D3" s="1"/>
      <c r="E3" s="1"/>
      <c r="F3" s="1"/>
      <c r="G3" s="1"/>
      <c r="H3" s="1"/>
    </row>
    <row r="4" spans="2:8" ht="14.5" x14ac:dyDescent="0.35">
      <c r="B4" s="1"/>
      <c r="C4" s="1"/>
      <c r="D4" s="1"/>
      <c r="E4" s="1"/>
      <c r="F4" s="1"/>
      <c r="G4" s="1"/>
      <c r="H4" s="1"/>
    </row>
    <row r="5" spans="2:8" ht="14.5" x14ac:dyDescent="0.35">
      <c r="B5" s="2" t="s">
        <v>81</v>
      </c>
      <c r="C5" s="2">
        <v>0</v>
      </c>
      <c r="D5" s="2">
        <v>1</v>
      </c>
      <c r="E5" s="2">
        <v>2</v>
      </c>
      <c r="F5" s="2">
        <v>3</v>
      </c>
      <c r="G5" s="2">
        <v>4</v>
      </c>
      <c r="H5" s="2">
        <v>5</v>
      </c>
    </row>
    <row r="6" spans="2:8" ht="14.5" x14ac:dyDescent="0.35">
      <c r="B6" s="19" t="s">
        <v>82</v>
      </c>
      <c r="C6" s="10">
        <f>-'Calc - Reconciled'!C4</f>
        <v>-3300000.0000000005</v>
      </c>
      <c r="D6" s="11">
        <f>'Calc - Reconciled'!C18</f>
        <v>1513200</v>
      </c>
      <c r="E6" s="11">
        <f>'Calc - Reconciled'!C18</f>
        <v>1513200</v>
      </c>
      <c r="F6" s="11">
        <f>'Calc - Reconciled'!C18</f>
        <v>1513200</v>
      </c>
      <c r="G6" s="11">
        <f>'Calc - Reconciled'!C18</f>
        <v>1513200</v>
      </c>
      <c r="H6" s="11">
        <f>'Calc - Reconciled'!C18</f>
        <v>1513200</v>
      </c>
    </row>
    <row r="7" spans="2:8" ht="14.5" x14ac:dyDescent="0.35">
      <c r="B7" s="19" t="s">
        <v>83</v>
      </c>
      <c r="C7" s="10">
        <f t="shared" ref="C7:H7" si="0">C6/(1+$C$3)^C5</f>
        <v>-3300000.0000000005</v>
      </c>
      <c r="D7" s="10">
        <f t="shared" si="0"/>
        <v>1375636.3636363635</v>
      </c>
      <c r="E7" s="10">
        <f t="shared" si="0"/>
        <v>1250578.5123966939</v>
      </c>
      <c r="F7" s="10">
        <f t="shared" si="0"/>
        <v>1136889.5567242671</v>
      </c>
      <c r="G7" s="10">
        <f t="shared" si="0"/>
        <v>1033535.9606584247</v>
      </c>
      <c r="H7" s="10">
        <f t="shared" si="0"/>
        <v>939578.14605311328</v>
      </c>
    </row>
    <row r="8" spans="2:8" ht="14.5" x14ac:dyDescent="0.35">
      <c r="B8" s="1"/>
      <c r="C8" s="1"/>
      <c r="D8" s="1"/>
      <c r="E8" s="1"/>
      <c r="F8" s="1"/>
      <c r="G8" s="1"/>
      <c r="H8" s="1"/>
    </row>
    <row r="9" spans="2:8" ht="14.5" x14ac:dyDescent="0.35">
      <c r="B9" s="26" t="s">
        <v>84</v>
      </c>
      <c r="C9" s="13">
        <f>SUM(C7:H7)</f>
        <v>2436218.5394688621</v>
      </c>
      <c r="D9" s="1"/>
      <c r="E9" s="1"/>
      <c r="F9" s="1"/>
      <c r="G9" s="1"/>
      <c r="H9" s="1"/>
    </row>
    <row r="10" spans="2:8" ht="14.5" x14ac:dyDescent="0.35">
      <c r="B10" s="26" t="s">
        <v>85</v>
      </c>
      <c r="C10" s="18">
        <f>IRR(C6:H6)</f>
        <v>0.35998175992345671</v>
      </c>
      <c r="D10" s="1"/>
      <c r="E10" s="1"/>
      <c r="F10" s="1"/>
      <c r="G10" s="1"/>
      <c r="H10" s="1"/>
    </row>
    <row r="11" spans="2:8" ht="14.5" x14ac:dyDescent="0.35">
      <c r="B11" s="1"/>
      <c r="C11" s="1"/>
      <c r="D11" s="1"/>
      <c r="E11" s="1"/>
      <c r="F11" s="1"/>
      <c r="G11" s="1"/>
      <c r="H11" s="1"/>
    </row>
    <row r="12" spans="2:8" ht="14.5" x14ac:dyDescent="0.35">
      <c r="B12" s="9" t="s">
        <v>86</v>
      </c>
      <c r="C12" s="1"/>
      <c r="D12" s="1"/>
      <c r="E12" s="1"/>
      <c r="F12" s="1"/>
      <c r="G12" s="1"/>
      <c r="H12" s="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1:H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Calc - As Filed</vt:lpstr>
      <vt:lpstr>Calc - Reconciled</vt:lpstr>
      <vt:lpstr>Scenario Comparison</vt:lpstr>
      <vt:lpstr>Sensitivity</vt:lpstr>
      <vt:lpstr>5Y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Somphon Teachatharathip</cp:lastModifiedBy>
  <dcterms:modified xsi:type="dcterms:W3CDTF">2026-07-08T08:43:49Z</dcterms:modified>
</cp:coreProperties>
</file>